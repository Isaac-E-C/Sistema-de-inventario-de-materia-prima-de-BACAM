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Ilhan\Downloads\"/>
    </mc:Choice>
  </mc:AlternateContent>
  <xr:revisionPtr revIDLastSave="0" documentId="13_ncr:1_{6BBE2C15-DE6F-45C7-A516-AC64631ABF94}" xr6:coauthVersionLast="47" xr6:coauthVersionMax="47" xr10:uidLastSave="{00000000-0000-0000-0000-000000000000}"/>
  <bookViews>
    <workbookView xWindow="-120" yWindow="-120" windowWidth="29040" windowHeight="15840" tabRatio="207" xr2:uid="{00000000-000D-0000-FFFF-FFFF00000000}"/>
  </bookViews>
  <sheets>
    <sheet name="Cronograma de activ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dSRRWr+PoInjf3sKeRL2bau9UNHy9Kn6GfDABKxIdE="/>
    </ext>
  </extLst>
</workbook>
</file>

<file path=xl/calcChain.xml><?xml version="1.0" encoding="utf-8"?>
<calcChain xmlns="http://schemas.openxmlformats.org/spreadsheetml/2006/main">
  <c r="H2" i="1" l="1"/>
  <c r="I2" i="1" s="1"/>
  <c r="H17" i="1"/>
  <c r="I3" i="1"/>
  <c r="H36" i="1" l="1"/>
  <c r="G30" i="1" s="1"/>
  <c r="H39" i="1" s="1"/>
</calcChain>
</file>

<file path=xl/sharedStrings.xml><?xml version="1.0" encoding="utf-8"?>
<sst xmlns="http://schemas.openxmlformats.org/spreadsheetml/2006/main" count="103" uniqueCount="82">
  <si>
    <t>FECHA DE INICIO</t>
  </si>
  <si>
    <t>Analisis de los resultados de la entrevista</t>
  </si>
  <si>
    <t>Ejecucion de brainstorming</t>
  </si>
  <si>
    <t>Analisis de resultados del brainstorming</t>
  </si>
  <si>
    <t>Analisis de la situacion actual (AS-IS)</t>
  </si>
  <si>
    <t>Identificacion y modelado de actores del sistema</t>
  </si>
  <si>
    <t>Elaboracion de casos de uso de la situacion actual</t>
  </si>
  <si>
    <t>Reconocimiento y analisis de proceso de negocio</t>
  </si>
  <si>
    <t>ACTIVIDADES</t>
  </si>
  <si>
    <t>Arbol del problema</t>
  </si>
  <si>
    <t>Modelo Conceptual</t>
  </si>
  <si>
    <t>12-Dic-25</t>
  </si>
  <si>
    <t>14-Ene-26</t>
  </si>
  <si>
    <t>14-Dic-25</t>
  </si>
  <si>
    <t>10-Ene-26</t>
  </si>
  <si>
    <t>09-Ene-26</t>
  </si>
  <si>
    <t>05-Ene-26</t>
  </si>
  <si>
    <t>Planificacion de la sesión de brainstorming</t>
  </si>
  <si>
    <t xml:space="preserve">Ejecución de la entrevista </t>
  </si>
  <si>
    <t>Planificación de la entrevista al dueño del negocio</t>
  </si>
  <si>
    <t>Preparación del banco de preguntas para entrevista</t>
  </si>
  <si>
    <t>PRIMERA TECNICA .- ENTREVISTA</t>
  </si>
  <si>
    <t>SEGUNDA TECNICA .- BRAINSTORMING</t>
  </si>
  <si>
    <t>ELICITACIÓN</t>
  </si>
  <si>
    <t>ANÁLISIS</t>
  </si>
  <si>
    <t>15-Dic-25</t>
  </si>
  <si>
    <t>VALIDACIÓN Y VERIFICACIÓN</t>
  </si>
  <si>
    <t>ESPECIFICACIÓN</t>
  </si>
  <si>
    <t>16-Dic-25</t>
  </si>
  <si>
    <t>01-Dic-25</t>
  </si>
  <si>
    <t>FECHA DE FINALIZACIÓN</t>
  </si>
  <si>
    <t>11-Dic-25</t>
  </si>
  <si>
    <t>6-Dic-25</t>
  </si>
  <si>
    <t>12-Ene-26</t>
  </si>
  <si>
    <t>07-Ene-26</t>
  </si>
  <si>
    <t>DURACIÓN (Horas)*</t>
  </si>
  <si>
    <t>19-Ene-26</t>
  </si>
  <si>
    <t>11-Ene-26</t>
  </si>
  <si>
    <t>ROLES</t>
  </si>
  <si>
    <t>Project Owner</t>
  </si>
  <si>
    <t>Ingeniera de Requisitos</t>
  </si>
  <si>
    <t>Sueldo por hora*</t>
  </si>
  <si>
    <t>Total Horas</t>
  </si>
  <si>
    <t>Sueldo(USD)</t>
  </si>
  <si>
    <t>Insumos</t>
  </si>
  <si>
    <t>Costo(USD)</t>
  </si>
  <si>
    <t>Lenovo Thinkpad T14s</t>
  </si>
  <si>
    <t>Requisitos No Funcionales</t>
  </si>
  <si>
    <t>NF-01 Seguridad</t>
  </si>
  <si>
    <t>NF-02 Disponibilidad</t>
  </si>
  <si>
    <t>NF-03 Usabilidad</t>
  </si>
  <si>
    <t>NF-04 Rendimiento</t>
  </si>
  <si>
    <t>NF-05 Escalabilidad</t>
  </si>
  <si>
    <t>Crítico</t>
  </si>
  <si>
    <t>Importante</t>
  </si>
  <si>
    <t>Deseable</t>
  </si>
  <si>
    <t>ASUS X515E</t>
  </si>
  <si>
    <t>Costos operativos (servicios básicos)</t>
  </si>
  <si>
    <t>N/A</t>
  </si>
  <si>
    <t>Validación de la propuesta (Grupo 5)</t>
  </si>
  <si>
    <t>Comentario:</t>
  </si>
  <si>
    <t xml:space="preserve">Se estima que al menos la mitad del presupuesto total del projecto va destinado a su desarrollo. </t>
  </si>
  <si>
    <t>Lenovo Ideapad 3</t>
  </si>
  <si>
    <t>16 semanas</t>
  </si>
  <si>
    <t>Costo aproximado ≈</t>
  </si>
  <si>
    <t>TOTAL:</t>
  </si>
  <si>
    <t>*Sueldos promedios de: https://worldsalaries.com/</t>
  </si>
  <si>
    <t>Propuesta 2</t>
  </si>
  <si>
    <t>Identificación de actores del sistema</t>
  </si>
  <si>
    <t>Identificación de casos de uso primarios</t>
  </si>
  <si>
    <t>Identificación de casos de uso administrativos</t>
  </si>
  <si>
    <t>Diseño del diagrama de casos de uso de alto nivel (nivel 0)</t>
  </si>
  <si>
    <t>Diseño de diagramas de casos de uso detallados (nivel 1)</t>
  </si>
  <si>
    <t>Redacción de descripciones de casos de uso</t>
  </si>
  <si>
    <t>Elaboración de descripciones expandidas de casos de uso</t>
  </si>
  <si>
    <t>Revisión y ajuste de los casos de uso</t>
  </si>
  <si>
    <t>Consolidación del documento de especificación</t>
  </si>
  <si>
    <t>17-Ene-26</t>
  </si>
  <si>
    <t>18-Ene-26</t>
  </si>
  <si>
    <t>20-Ene-26</t>
  </si>
  <si>
    <t>SubTotal (USD):</t>
  </si>
  <si>
    <t>Total (USD):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</si>
</sst>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u/>
      <sz val="11"/>
      <color rgb="FF1F497D"/>
      <name val="Calibri"/>
      <family val="2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DBE5F1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4" fillId="0" borderId="2" applyNumberFormat="0" applyFill="0" applyAlignment="0" applyProtection="0"/>
    <xf numFmtId="0" fontId="15" fillId="7" borderId="3" applyNumberFormat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9" fillId="2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5" fontId="10" fillId="4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5" fontId="8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8" fillId="4" borderId="1" xfId="0" applyFont="1" applyFill="1" applyBorder="1" applyAlignment="1">
      <alignment horizontal="center"/>
    </xf>
    <xf numFmtId="15" fontId="13" fillId="4" borderId="1" xfId="0" applyNumberFormat="1" applyFont="1" applyFill="1" applyBorder="1" applyAlignment="1">
      <alignment horizontal="center"/>
    </xf>
    <xf numFmtId="15" fontId="8" fillId="4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5" fillId="0" borderId="0" xfId="0" applyFont="1"/>
    <xf numFmtId="0" fontId="4" fillId="8" borderId="1" xfId="0" applyFont="1" applyFill="1" applyBorder="1" applyAlignment="1">
      <alignment horizontal="center"/>
    </xf>
    <xf numFmtId="0" fontId="2" fillId="8" borderId="1" xfId="0" quotePrefix="1" applyFont="1" applyFill="1" applyBorder="1" applyAlignment="1">
      <alignment horizontal="center"/>
    </xf>
    <xf numFmtId="0" fontId="2" fillId="8" borderId="1" xfId="0" applyFont="1" applyFill="1" applyBorder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7" borderId="3" xfId="2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5" fillId="7" borderId="3" xfId="2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5" fillId="10" borderId="3" xfId="2" applyFill="1" applyAlignment="1">
      <alignment horizontal="center" vertical="center"/>
    </xf>
    <xf numFmtId="0" fontId="15" fillId="10" borderId="3" xfId="2" quotePrefix="1" applyFill="1" applyAlignment="1">
      <alignment horizontal="center" vertical="center"/>
    </xf>
    <xf numFmtId="0" fontId="15" fillId="7" borderId="3" xfId="2" quotePrefix="1" applyAlignment="1">
      <alignment horizontal="center" vertical="center"/>
    </xf>
    <xf numFmtId="0" fontId="17" fillId="0" borderId="0" xfId="0" applyFont="1" applyAlignment="1">
      <alignment horizontal="center"/>
    </xf>
    <xf numFmtId="0" fontId="15" fillId="7" borderId="4" xfId="2" applyBorder="1" applyAlignment="1">
      <alignment horizontal="center"/>
    </xf>
    <xf numFmtId="0" fontId="15" fillId="7" borderId="12" xfId="2" applyBorder="1" applyAlignment="1">
      <alignment horizontal="center"/>
    </xf>
    <xf numFmtId="0" fontId="15" fillId="7" borderId="5" xfId="2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5" fillId="7" borderId="3" xfId="2" applyAlignment="1">
      <alignment horizontal="center"/>
    </xf>
    <xf numFmtId="0" fontId="14" fillId="0" borderId="2" xfId="1" applyAlignment="1">
      <alignment horizontal="center" vertical="center"/>
    </xf>
    <xf numFmtId="0" fontId="15" fillId="10" borderId="3" xfId="2" applyFill="1" applyAlignment="1">
      <alignment horizontal="center"/>
    </xf>
    <xf numFmtId="0" fontId="15" fillId="10" borderId="4" xfId="2" applyFill="1" applyBorder="1" applyAlignment="1">
      <alignment horizontal="center"/>
    </xf>
    <xf numFmtId="0" fontId="15" fillId="10" borderId="5" xfId="2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</cellXfs>
  <cellStyles count="3">
    <cellStyle name="Heading 1" xfId="1" builtinId="16"/>
    <cellStyle name="Normal" xfId="0" builtinId="0"/>
    <cellStyle name="Output" xfId="2" builtinId="21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ronograma de actividad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545716</xdr:colOff>
      <xdr:row>20</xdr:row>
      <xdr:rowOff>69735</xdr:rowOff>
    </xdr:from>
    <xdr:to>
      <xdr:col>15</xdr:col>
      <xdr:colOff>212448</xdr:colOff>
      <xdr:row>32</xdr:row>
      <xdr:rowOff>63874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30F00-3D59-763B-C4EC-E6D39C9EC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87540" y="3890941"/>
          <a:ext cx="3162967" cy="2280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zoomScale="85" zoomScaleNormal="85" workbookViewId="0">
      <selection activeCell="J30" sqref="J30"/>
    </sheetView>
  </sheetViews>
  <sheetFormatPr defaultColWidth="14.42578125" defaultRowHeight="15" x14ac:dyDescent="0.25"/>
  <cols>
    <col min="1" max="1" width="69.7109375" style="1" bestFit="1" customWidth="1"/>
    <col min="2" max="2" width="16.85546875" style="2" customWidth="1"/>
    <col min="3" max="3" width="23.42578125" style="2" customWidth="1"/>
    <col min="4" max="4" width="23" style="30" customWidth="1"/>
    <col min="5" max="5" width="12.5703125" customWidth="1"/>
    <col min="6" max="6" width="22.28515625" style="1" bestFit="1" customWidth="1"/>
    <col min="7" max="7" width="17.5703125" style="1" customWidth="1"/>
    <col min="8" max="8" width="12.7109375" style="1" customWidth="1"/>
    <col min="9" max="9" width="13.7109375" style="1" customWidth="1"/>
    <col min="10" max="24" width="8.7109375" customWidth="1"/>
  </cols>
  <sheetData>
    <row r="1" spans="1:9" s="31" customFormat="1" ht="15.75" thickBot="1" x14ac:dyDescent="0.3">
      <c r="A1" s="3" t="s">
        <v>8</v>
      </c>
      <c r="B1" s="3" t="s">
        <v>0</v>
      </c>
      <c r="C1" s="3" t="s">
        <v>30</v>
      </c>
      <c r="D1" s="3" t="s">
        <v>35</v>
      </c>
      <c r="F1" s="38" t="s">
        <v>38</v>
      </c>
      <c r="G1" s="38" t="s">
        <v>41</v>
      </c>
      <c r="H1" s="38" t="s">
        <v>42</v>
      </c>
      <c r="I1" s="39" t="s">
        <v>43</v>
      </c>
    </row>
    <row r="2" spans="1:9" x14ac:dyDescent="0.25">
      <c r="A2" s="4" t="s">
        <v>23</v>
      </c>
      <c r="B2" s="5"/>
      <c r="C2" s="5"/>
      <c r="D2" s="5"/>
      <c r="F2" s="40" t="s">
        <v>39</v>
      </c>
      <c r="G2" s="40">
        <v>18</v>
      </c>
      <c r="H2" s="40">
        <f>SUM(D4,D5,D6,D7,D9,D10,D11,D14,D15,D16,D17,D18,D19,D23:D31)</f>
        <v>59</v>
      </c>
      <c r="I2" s="41">
        <f>G2*H2</f>
        <v>1062</v>
      </c>
    </row>
    <row r="3" spans="1:9" x14ac:dyDescent="0.25">
      <c r="A3" s="6" t="s">
        <v>21</v>
      </c>
      <c r="B3" s="7"/>
      <c r="C3" s="7"/>
      <c r="D3" s="26"/>
      <c r="F3" s="42" t="s">
        <v>40</v>
      </c>
      <c r="G3" s="42">
        <v>15</v>
      </c>
      <c r="H3" s="42">
        <v>55</v>
      </c>
      <c r="I3" s="43">
        <f>G3*H3</f>
        <v>825</v>
      </c>
    </row>
    <row r="4" spans="1:9" x14ac:dyDescent="0.25">
      <c r="A4" s="8" t="s">
        <v>20</v>
      </c>
      <c r="B4" s="9">
        <v>45971</v>
      </c>
      <c r="C4" s="9">
        <v>45974</v>
      </c>
      <c r="D4" s="8">
        <v>4</v>
      </c>
    </row>
    <row r="5" spans="1:9" x14ac:dyDescent="0.25">
      <c r="A5" s="12" t="s">
        <v>19</v>
      </c>
      <c r="B5" s="13">
        <v>45974</v>
      </c>
      <c r="C5" s="14">
        <v>45979</v>
      </c>
      <c r="D5" s="12">
        <v>2</v>
      </c>
      <c r="F5" s="54" t="s">
        <v>66</v>
      </c>
      <c r="G5" s="55"/>
      <c r="H5" s="55"/>
      <c r="I5" s="55"/>
    </row>
    <row r="6" spans="1:9" x14ac:dyDescent="0.25">
      <c r="A6" s="8" t="s">
        <v>18</v>
      </c>
      <c r="B6" s="9">
        <v>45980</v>
      </c>
      <c r="C6" s="9">
        <v>45980</v>
      </c>
      <c r="D6" s="8">
        <v>1</v>
      </c>
      <c r="F6"/>
      <c r="G6"/>
      <c r="H6"/>
      <c r="I6"/>
    </row>
    <row r="7" spans="1:9" x14ac:dyDescent="0.25">
      <c r="A7" s="12" t="s">
        <v>1</v>
      </c>
      <c r="B7" s="14">
        <v>45982</v>
      </c>
      <c r="C7" s="14">
        <v>45985</v>
      </c>
      <c r="D7" s="12">
        <v>4</v>
      </c>
      <c r="F7" s="51" t="s">
        <v>44</v>
      </c>
      <c r="G7" s="52"/>
      <c r="H7" s="53"/>
      <c r="I7"/>
    </row>
    <row r="8" spans="1:9" x14ac:dyDescent="0.25">
      <c r="A8" s="10" t="s">
        <v>22</v>
      </c>
      <c r="B8" s="9"/>
      <c r="C8" s="8"/>
      <c r="D8" s="8"/>
      <c r="F8" s="60"/>
      <c r="G8" s="61"/>
      <c r="H8" s="47" t="s">
        <v>45</v>
      </c>
      <c r="I8"/>
    </row>
    <row r="9" spans="1:9" x14ac:dyDescent="0.25">
      <c r="A9" s="12" t="s">
        <v>17</v>
      </c>
      <c r="B9" s="12" t="s">
        <v>32</v>
      </c>
      <c r="C9" s="12" t="s">
        <v>31</v>
      </c>
      <c r="D9" s="12">
        <v>2</v>
      </c>
      <c r="F9" s="57" t="s">
        <v>46</v>
      </c>
      <c r="G9" s="57"/>
      <c r="H9" s="44">
        <v>344</v>
      </c>
      <c r="I9"/>
    </row>
    <row r="10" spans="1:9" x14ac:dyDescent="0.25">
      <c r="A10" s="8" t="s">
        <v>2</v>
      </c>
      <c r="B10" s="8" t="s">
        <v>11</v>
      </c>
      <c r="C10" s="8" t="s">
        <v>11</v>
      </c>
      <c r="D10" s="8">
        <v>1</v>
      </c>
      <c r="F10" s="59" t="s">
        <v>56</v>
      </c>
      <c r="G10" s="59"/>
      <c r="H10" s="48">
        <v>548</v>
      </c>
      <c r="I10"/>
    </row>
    <row r="11" spans="1:9" x14ac:dyDescent="0.25">
      <c r="A11" s="12" t="s">
        <v>3</v>
      </c>
      <c r="B11" s="12" t="s">
        <v>13</v>
      </c>
      <c r="C11" s="12" t="s">
        <v>25</v>
      </c>
      <c r="D11" s="12">
        <v>4</v>
      </c>
      <c r="F11" s="57" t="s">
        <v>62</v>
      </c>
      <c r="G11" s="57"/>
      <c r="H11" s="49">
        <v>401</v>
      </c>
      <c r="I11"/>
    </row>
    <row r="12" spans="1:9" x14ac:dyDescent="0.25">
      <c r="A12" s="8"/>
      <c r="B12" s="8"/>
      <c r="C12" s="15"/>
      <c r="D12" s="8"/>
      <c r="F12" s="59" t="s">
        <v>57</v>
      </c>
      <c r="G12" s="59"/>
      <c r="H12" s="47">
        <v>100</v>
      </c>
      <c r="I12" s="50" t="s">
        <v>63</v>
      </c>
    </row>
    <row r="13" spans="1:9" x14ac:dyDescent="0.25">
      <c r="A13" s="16" t="s">
        <v>24</v>
      </c>
      <c r="B13" s="17"/>
      <c r="C13" s="17"/>
      <c r="D13" s="27"/>
      <c r="F13" s="57"/>
      <c r="G13" s="57"/>
      <c r="H13" s="44"/>
      <c r="I13"/>
    </row>
    <row r="14" spans="1:9" x14ac:dyDescent="0.25">
      <c r="A14" s="18" t="s">
        <v>9</v>
      </c>
      <c r="B14" s="18" t="s">
        <v>29</v>
      </c>
      <c r="C14" s="18" t="s">
        <v>28</v>
      </c>
      <c r="D14" s="24">
        <v>4</v>
      </c>
      <c r="F14" s="59"/>
      <c r="G14" s="59"/>
      <c r="H14" s="47"/>
      <c r="I14"/>
    </row>
    <row r="15" spans="1:9" x14ac:dyDescent="0.25">
      <c r="A15" s="12" t="s">
        <v>5</v>
      </c>
      <c r="B15" s="17" t="s">
        <v>16</v>
      </c>
      <c r="C15" s="17" t="s">
        <v>34</v>
      </c>
      <c r="D15" s="27">
        <v>2</v>
      </c>
      <c r="F15" s="57"/>
      <c r="G15" s="57"/>
      <c r="H15" s="44"/>
      <c r="I15"/>
    </row>
    <row r="16" spans="1:9" x14ac:dyDescent="0.25">
      <c r="A16" s="8" t="s">
        <v>4</v>
      </c>
      <c r="B16" s="18" t="s">
        <v>16</v>
      </c>
      <c r="C16" s="18" t="s">
        <v>15</v>
      </c>
      <c r="D16" s="24">
        <v>4</v>
      </c>
      <c r="F16" s="59"/>
      <c r="G16" s="59"/>
      <c r="H16" s="47"/>
      <c r="I16"/>
    </row>
    <row r="17" spans="1:18" x14ac:dyDescent="0.25">
      <c r="A17" s="12" t="s">
        <v>6</v>
      </c>
      <c r="B17" s="17" t="s">
        <v>34</v>
      </c>
      <c r="C17" s="17" t="s">
        <v>33</v>
      </c>
      <c r="D17" s="27">
        <v>4</v>
      </c>
      <c r="F17" s="57" t="s">
        <v>65</v>
      </c>
      <c r="G17" s="57"/>
      <c r="H17" s="44">
        <f>SUM(H9,H10,H11,H12,H13,H14,H15,H16)</f>
        <v>1393</v>
      </c>
      <c r="I17"/>
    </row>
    <row r="18" spans="1:18" x14ac:dyDescent="0.25">
      <c r="A18" s="8" t="s">
        <v>7</v>
      </c>
      <c r="B18" s="18" t="s">
        <v>33</v>
      </c>
      <c r="C18" s="23" t="s">
        <v>12</v>
      </c>
      <c r="D18" s="24">
        <v>2</v>
      </c>
      <c r="I18"/>
    </row>
    <row r="19" spans="1:18" x14ac:dyDescent="0.25">
      <c r="A19" s="17" t="s">
        <v>10</v>
      </c>
      <c r="B19" s="17" t="s">
        <v>14</v>
      </c>
      <c r="C19" s="17" t="s">
        <v>12</v>
      </c>
      <c r="D19" s="27">
        <v>2</v>
      </c>
    </row>
    <row r="20" spans="1:18" x14ac:dyDescent="0.25">
      <c r="A20" s="18"/>
      <c r="B20" s="18"/>
      <c r="C20" s="18"/>
      <c r="D20" s="24"/>
      <c r="F20" s="57" t="s">
        <v>47</v>
      </c>
      <c r="G20" s="57"/>
      <c r="H20"/>
      <c r="I20" s="35" t="s">
        <v>60</v>
      </c>
      <c r="J20" s="56" t="s">
        <v>61</v>
      </c>
      <c r="K20" s="56"/>
      <c r="L20" s="56"/>
      <c r="M20" s="56"/>
      <c r="N20" s="56"/>
      <c r="O20" s="56"/>
      <c r="P20" s="56"/>
      <c r="Q20" s="56"/>
      <c r="R20" s="56"/>
    </row>
    <row r="21" spans="1:18" x14ac:dyDescent="0.25">
      <c r="A21" s="16" t="s">
        <v>27</v>
      </c>
      <c r="B21" s="20"/>
      <c r="C21" s="17"/>
      <c r="D21" s="27"/>
      <c r="F21"/>
      <c r="G21"/>
      <c r="I21" s="30"/>
    </row>
    <row r="22" spans="1:18" x14ac:dyDescent="0.25">
      <c r="A22" s="21" t="s">
        <v>67</v>
      </c>
      <c r="B22" s="18"/>
      <c r="C22" s="18"/>
      <c r="D22" s="24"/>
      <c r="F22" s="44" t="s">
        <v>48</v>
      </c>
      <c r="G22" s="37" t="s">
        <v>53</v>
      </c>
    </row>
    <row r="23" spans="1:18" x14ac:dyDescent="0.25">
      <c r="A23" s="62" t="s">
        <v>68</v>
      </c>
      <c r="B23" s="17" t="s">
        <v>15</v>
      </c>
      <c r="C23" s="62" t="s">
        <v>14</v>
      </c>
      <c r="D23" s="27">
        <v>1</v>
      </c>
      <c r="F23" s="44" t="s">
        <v>49</v>
      </c>
      <c r="G23" s="37" t="s">
        <v>53</v>
      </c>
      <c r="I23" s="30"/>
    </row>
    <row r="24" spans="1:18" x14ac:dyDescent="0.25">
      <c r="A24" s="63" t="s">
        <v>69</v>
      </c>
      <c r="B24" s="24" t="s">
        <v>15</v>
      </c>
      <c r="C24" s="63" t="s">
        <v>37</v>
      </c>
      <c r="D24" s="24">
        <v>4</v>
      </c>
      <c r="F24" s="44" t="s">
        <v>50</v>
      </c>
      <c r="G24" s="37" t="s">
        <v>54</v>
      </c>
      <c r="I24" s="30"/>
    </row>
    <row r="25" spans="1:18" x14ac:dyDescent="0.25">
      <c r="A25" s="64" t="s">
        <v>70</v>
      </c>
      <c r="B25" s="64" t="s">
        <v>15</v>
      </c>
      <c r="C25" s="64" t="s">
        <v>33</v>
      </c>
      <c r="D25" s="45">
        <v>2</v>
      </c>
      <c r="F25" s="44" t="s">
        <v>51</v>
      </c>
      <c r="G25" s="37" t="s">
        <v>54</v>
      </c>
      <c r="I25" s="30"/>
    </row>
    <row r="26" spans="1:18" x14ac:dyDescent="0.25">
      <c r="A26" s="65" t="s">
        <v>71</v>
      </c>
      <c r="B26" s="32" t="s">
        <v>12</v>
      </c>
      <c r="C26" s="65" t="s">
        <v>77</v>
      </c>
      <c r="D26" s="46">
        <v>2</v>
      </c>
      <c r="F26" s="44" t="s">
        <v>52</v>
      </c>
      <c r="G26" s="37" t="s">
        <v>55</v>
      </c>
    </row>
    <row r="27" spans="1:18" x14ac:dyDescent="0.25">
      <c r="A27" s="62" t="s">
        <v>72</v>
      </c>
      <c r="B27" s="17" t="s">
        <v>12</v>
      </c>
      <c r="C27" s="62" t="s">
        <v>77</v>
      </c>
      <c r="D27" s="27">
        <v>4</v>
      </c>
      <c r="F27" s="44"/>
      <c r="G27" s="37"/>
    </row>
    <row r="28" spans="1:18" x14ac:dyDescent="0.25">
      <c r="A28" s="68" t="s">
        <v>73</v>
      </c>
      <c r="B28" s="65" t="s">
        <v>77</v>
      </c>
      <c r="C28" s="65" t="s">
        <v>78</v>
      </c>
      <c r="D28" s="46">
        <v>4</v>
      </c>
      <c r="F28" s="44"/>
      <c r="G28" s="37"/>
    </row>
    <row r="29" spans="1:18" x14ac:dyDescent="0.25">
      <c r="A29" s="69" t="s">
        <v>74</v>
      </c>
      <c r="B29" s="71" t="s">
        <v>77</v>
      </c>
      <c r="C29" s="72" t="s">
        <v>78</v>
      </c>
      <c r="D29" s="66">
        <v>4</v>
      </c>
      <c r="F29" s="44"/>
      <c r="G29" s="37"/>
    </row>
    <row r="30" spans="1:18" x14ac:dyDescent="0.25">
      <c r="A30" s="68" t="s">
        <v>75</v>
      </c>
      <c r="B30" s="65" t="s">
        <v>78</v>
      </c>
      <c r="C30" s="65" t="s">
        <v>36</v>
      </c>
      <c r="D30" s="46">
        <v>1</v>
      </c>
      <c r="F30" s="36" t="s">
        <v>64</v>
      </c>
      <c r="G30" s="31">
        <f>H36*0.5</f>
        <v>1640</v>
      </c>
    </row>
    <row r="31" spans="1:18" x14ac:dyDescent="0.25">
      <c r="A31" s="69" t="s">
        <v>76</v>
      </c>
      <c r="B31" s="70" t="s">
        <v>36</v>
      </c>
      <c r="C31" s="70" t="s">
        <v>79</v>
      </c>
      <c r="D31" s="67">
        <v>1</v>
      </c>
    </row>
    <row r="32" spans="1:18" x14ac:dyDescent="0.25">
      <c r="A32" s="17"/>
      <c r="B32" s="17"/>
      <c r="C32" s="17"/>
      <c r="D32" s="27"/>
    </row>
    <row r="33" spans="1:9" x14ac:dyDescent="0.25">
      <c r="A33" s="22" t="s">
        <v>26</v>
      </c>
      <c r="B33" s="18"/>
      <c r="C33" s="18"/>
      <c r="D33" s="24"/>
    </row>
    <row r="34" spans="1:9" x14ac:dyDescent="0.25">
      <c r="A34" s="27" t="s">
        <v>59</v>
      </c>
      <c r="B34" s="25" t="s">
        <v>58</v>
      </c>
      <c r="C34" s="25" t="s">
        <v>58</v>
      </c>
      <c r="D34" s="28"/>
    </row>
    <row r="35" spans="1:9" x14ac:dyDescent="0.25">
      <c r="A35" s="32"/>
      <c r="B35" s="33"/>
      <c r="C35" s="33"/>
      <c r="D35" s="34"/>
    </row>
    <row r="36" spans="1:9" ht="15.75" thickBot="1" x14ac:dyDescent="0.3">
      <c r="A36" s="17"/>
      <c r="B36" s="25"/>
      <c r="C36" s="25"/>
      <c r="D36" s="28"/>
      <c r="F36" s="58" t="s">
        <v>80</v>
      </c>
      <c r="G36" s="58"/>
      <c r="H36" s="58">
        <f>SUM(I2,I3,H17)</f>
        <v>3280</v>
      </c>
      <c r="I36" s="58"/>
    </row>
    <row r="37" spans="1:9" ht="16.5" thickTop="1" thickBot="1" x14ac:dyDescent="0.3">
      <c r="A37" s="19"/>
      <c r="B37" s="11"/>
      <c r="C37" s="11"/>
      <c r="D37" s="29"/>
      <c r="F37" s="58"/>
      <c r="G37" s="58"/>
      <c r="H37" s="58"/>
      <c r="I37" s="58"/>
    </row>
    <row r="38" spans="1:9" ht="15.75" thickTop="1" x14ac:dyDescent="0.25"/>
    <row r="39" spans="1:9" ht="15.75" thickBot="1" x14ac:dyDescent="0.3">
      <c r="F39" s="58" t="s">
        <v>81</v>
      </c>
      <c r="G39" s="58"/>
      <c r="H39" s="58">
        <f>SUM(G30,H36)</f>
        <v>4920</v>
      </c>
      <c r="I39" s="58"/>
    </row>
    <row r="40" spans="1:9" ht="16.5" thickTop="1" thickBot="1" x14ac:dyDescent="0.3">
      <c r="F40" s="58"/>
      <c r="G40" s="58"/>
      <c r="H40" s="58"/>
      <c r="I40" s="58"/>
    </row>
    <row r="41" spans="1:9" ht="15.75" thickTop="1" x14ac:dyDescent="0.25"/>
  </sheetData>
  <mergeCells count="18">
    <mergeCell ref="F39:G40"/>
    <mergeCell ref="H39:I40"/>
    <mergeCell ref="F7:H7"/>
    <mergeCell ref="F5:I5"/>
    <mergeCell ref="J20:R20"/>
    <mergeCell ref="F17:G17"/>
    <mergeCell ref="F36:G37"/>
    <mergeCell ref="H36:I37"/>
    <mergeCell ref="F15:G15"/>
    <mergeCell ref="F16:G16"/>
    <mergeCell ref="F8:G8"/>
    <mergeCell ref="F9:G9"/>
    <mergeCell ref="F10:G10"/>
    <mergeCell ref="F11:G11"/>
    <mergeCell ref="F12:G12"/>
    <mergeCell ref="F13:G13"/>
    <mergeCell ref="F14:G14"/>
    <mergeCell ref="F20:G20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Ilhan</cp:lastModifiedBy>
  <dcterms:created xsi:type="dcterms:W3CDTF">2026-01-16T13:20:17Z</dcterms:created>
  <dcterms:modified xsi:type="dcterms:W3CDTF">2026-01-21T04:46:33Z</dcterms:modified>
</cp:coreProperties>
</file>